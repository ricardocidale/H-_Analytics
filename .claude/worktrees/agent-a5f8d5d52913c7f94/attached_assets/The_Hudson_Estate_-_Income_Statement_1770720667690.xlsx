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nmit/Downloads/"/>
    </mc:Choice>
  </mc:AlternateContent>
  <xr:revisionPtr revIDLastSave="0" documentId="13_ncr:1_{A55AAF86-30AB-1843-8220-44EBA30DEA9C}" xr6:coauthVersionLast="47" xr6:coauthVersionMax="47" xr10:uidLastSave="{00000000-0000-0000-0000-000000000000}"/>
  <bookViews>
    <workbookView xWindow="0" yWindow="620" windowWidth="38400" windowHeight="19800" xr2:uid="{00000000-000D-0000-FFFF-FFFF00000000}"/>
  </bookViews>
  <sheets>
    <sheet name="Income Statemen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I3" i="1"/>
  <c r="H3" i="1"/>
  <c r="G3" i="1"/>
  <c r="F3" i="1"/>
  <c r="E3" i="1"/>
  <c r="D3" i="1"/>
  <c r="C3" i="1"/>
  <c r="C41" i="1"/>
  <c r="D41" i="1"/>
  <c r="E41" i="1"/>
  <c r="F41" i="1"/>
  <c r="G41" i="1"/>
  <c r="H41" i="1"/>
  <c r="I41" i="1"/>
  <c r="J41" i="1"/>
  <c r="K41" i="1"/>
  <c r="B41" i="1"/>
  <c r="C36" i="1"/>
  <c r="D36" i="1"/>
  <c r="E36" i="1"/>
  <c r="F36" i="1"/>
  <c r="G36" i="1"/>
  <c r="H36" i="1"/>
  <c r="I36" i="1"/>
  <c r="J36" i="1"/>
  <c r="K36" i="1"/>
  <c r="B34" i="1"/>
  <c r="C28" i="1"/>
  <c r="D28" i="1"/>
  <c r="E28" i="1"/>
  <c r="F28" i="1"/>
  <c r="G28" i="1"/>
  <c r="H28" i="1"/>
  <c r="I28" i="1"/>
  <c r="J28" i="1"/>
  <c r="K28" i="1"/>
  <c r="B28" i="1"/>
  <c r="C27" i="1"/>
  <c r="D27" i="1"/>
  <c r="E27" i="1"/>
  <c r="F27" i="1"/>
  <c r="G27" i="1"/>
  <c r="H27" i="1"/>
  <c r="I27" i="1"/>
  <c r="J27" i="1"/>
  <c r="K27" i="1"/>
  <c r="B27" i="1"/>
  <c r="B14" i="1"/>
  <c r="C18" i="1"/>
  <c r="D18" i="1"/>
  <c r="E18" i="1"/>
  <c r="F18" i="1"/>
  <c r="G18" i="1"/>
  <c r="H18" i="1"/>
  <c r="I18" i="1"/>
  <c r="J18" i="1"/>
  <c r="K18" i="1"/>
  <c r="B18" i="1"/>
  <c r="C17" i="1"/>
  <c r="D17" i="1"/>
  <c r="E17" i="1"/>
  <c r="F17" i="1"/>
  <c r="G17" i="1"/>
  <c r="H17" i="1"/>
  <c r="I17" i="1"/>
  <c r="J17" i="1"/>
  <c r="K17" i="1"/>
  <c r="B17" i="1"/>
  <c r="C16" i="1"/>
  <c r="D16" i="1"/>
  <c r="E16" i="1"/>
  <c r="F16" i="1"/>
  <c r="G16" i="1"/>
  <c r="H16" i="1"/>
  <c r="I16" i="1"/>
  <c r="J16" i="1"/>
  <c r="K16" i="1"/>
  <c r="B16" i="1"/>
  <c r="C15" i="1"/>
  <c r="D15" i="1"/>
  <c r="E15" i="1"/>
  <c r="F15" i="1"/>
  <c r="G15" i="1"/>
  <c r="H15" i="1"/>
  <c r="I15" i="1"/>
  <c r="J15" i="1"/>
  <c r="K15" i="1"/>
  <c r="B15" i="1"/>
  <c r="C14" i="1"/>
  <c r="D14" i="1"/>
  <c r="E14" i="1"/>
  <c r="F14" i="1"/>
  <c r="G14" i="1"/>
  <c r="H14" i="1"/>
  <c r="I14" i="1"/>
  <c r="J14" i="1"/>
  <c r="K14" i="1"/>
  <c r="C6" i="1"/>
  <c r="C7" i="1" s="1"/>
  <c r="D6" i="1"/>
  <c r="E6" i="1"/>
  <c r="E7" i="1" s="1"/>
  <c r="F6" i="1"/>
  <c r="F7" i="1" s="1"/>
  <c r="G6" i="1"/>
  <c r="G7" i="1" s="1"/>
  <c r="H6" i="1"/>
  <c r="H7" i="1" s="1"/>
  <c r="I6" i="1"/>
  <c r="I7" i="1" s="1"/>
  <c r="J6" i="1"/>
  <c r="K6" i="1"/>
  <c r="B6" i="1"/>
  <c r="B7" i="1" s="1"/>
  <c r="D10" i="1"/>
  <c r="D9" i="1"/>
  <c r="D8" i="1"/>
  <c r="D7" i="1"/>
  <c r="J7" i="1"/>
  <c r="J10" i="1" s="1"/>
  <c r="K7" i="1"/>
  <c r="K10" i="1" s="1"/>
  <c r="E8" i="1" l="1"/>
  <c r="E9" i="1"/>
  <c r="E11" i="1" s="1"/>
  <c r="E10" i="1"/>
  <c r="I9" i="1"/>
  <c r="I10" i="1"/>
  <c r="I8" i="1"/>
  <c r="H9" i="1"/>
  <c r="H8" i="1"/>
  <c r="H10" i="1"/>
  <c r="H11" i="1" s="1"/>
  <c r="G8" i="1"/>
  <c r="G11" i="1" s="1"/>
  <c r="G12" i="1" s="1"/>
  <c r="G9" i="1"/>
  <c r="G10" i="1"/>
  <c r="F9" i="1"/>
  <c r="F8" i="1"/>
  <c r="F10" i="1"/>
  <c r="F11" i="1" s="1"/>
  <c r="K11" i="1"/>
  <c r="C10" i="1"/>
  <c r="C11" i="1" s="1"/>
  <c r="C9" i="1"/>
  <c r="C8" i="1"/>
  <c r="K8" i="1"/>
  <c r="J8" i="1"/>
  <c r="K9" i="1"/>
  <c r="J9" i="1"/>
  <c r="J11" i="1" s="1"/>
  <c r="D11" i="1"/>
  <c r="B8" i="1"/>
  <c r="B10" i="1"/>
  <c r="B9" i="1"/>
  <c r="E12" i="1" l="1"/>
  <c r="K12" i="1"/>
  <c r="F12" i="1"/>
  <c r="I11" i="1"/>
  <c r="I12" i="1" s="1"/>
  <c r="D12" i="1"/>
  <c r="H12" i="1"/>
  <c r="B11" i="1"/>
  <c r="C12" i="1" s="1"/>
  <c r="J12" i="1" l="1"/>
</calcChain>
</file>

<file path=xl/sharedStrings.xml><?xml version="1.0" encoding="utf-8"?>
<sst xmlns="http://schemas.openxmlformats.org/spreadsheetml/2006/main" count="45" uniqueCount="43">
  <si>
    <t>Income Statement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</si>
  <si>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</si>
  <si>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</si>
  <si>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</si>
  <si>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</si>
  <si>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</si>
  <si>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</si>
  <si>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</si>
  <si>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</si>
  <si>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</si>
  <si>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</si>
  <si>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REVENUE</t>
  </si>
  <si>
    <t xml:space="preserve">  ADR</t>
  </si>
  <si>
    <t xml:space="preserve">  Occupancy %</t>
  </si>
  <si>
    <t xml:space="preserve">  RevPAR</t>
  </si>
  <si>
    <t xml:space="preserve">  Room Revenue</t>
  </si>
  <si>
    <t xml:space="preserve">  Food &amp; Beverage</t>
  </si>
  <si>
    <t xml:space="preserve">  Events &amp; Functions</t>
  </si>
  <si>
    <t xml:space="preserve">  Other Revenue</t>
  </si>
  <si>
    <t>Total Revenue</t>
  </si>
  <si>
    <t>OPERATING EXPENSES</t>
  </si>
  <si>
    <t xml:space="preserve">  Housekeeping</t>
  </si>
  <si>
    <t xml:space="preserve">  Other Departments</t>
  </si>
  <si>
    <t xml:space="preserve">  Sales &amp; Marketing</t>
  </si>
  <si>
    <t xml:space="preserve">  Property Operations</t>
  </si>
  <si>
    <t xml:space="preserve">  Utilities</t>
  </si>
  <si>
    <t xml:space="preserve">  Administrative &amp; General</t>
  </si>
  <si>
    <t xml:space="preserve">  IT &amp; Technology</t>
  </si>
  <si>
    <t xml:space="preserve">  Insurance</t>
  </si>
  <si>
    <t xml:space="preserve">  Property Taxes</t>
  </si>
  <si>
    <t xml:space="preserve">  Other Costs</t>
  </si>
  <si>
    <t>Gross Operating Profit (GOP)</t>
  </si>
  <si>
    <t>NON-OPERATING EXPENSES</t>
  </si>
  <si>
    <t xml:space="preserve">  Base Management Fee</t>
  </si>
  <si>
    <t xml:space="preserve">  Incentive Management Fee</t>
  </si>
  <si>
    <t xml:space="preserve">  FF&amp;E Reserve</t>
  </si>
  <si>
    <t>Net Operating Income (NOI)</t>
  </si>
  <si>
    <t>BELOW NOI</t>
  </si>
  <si>
    <t xml:space="preserve">  Interest Expense</t>
  </si>
  <si>
    <t xml:space="preserve">  Depreciation</t>
  </si>
  <si>
    <t xml:space="preserve">  Income Tax</t>
  </si>
  <si>
    <t>GAAP Net Income</t>
  </si>
  <si>
    <t>ADR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</si>
</sst>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&quot;%&quot;"/>
    <numFmt numFmtId="165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164" fontId="0" fillId="0" borderId="0" xfId="0" applyNumberFormat="1"/>
    <xf numFmtId="3" fontId="0" fillId="0" borderId="0" xfId="0" applyNumberFormat="1"/>
    <xf numFmtId="9" fontId="0" fillId="0" borderId="0" xfId="2" applyFont="1"/>
    <xf numFmtId="3" fontId="3" fillId="0" borderId="0" xfId="0" applyNumberFormat="1" applyFont="1"/>
    <xf numFmtId="0" fontId="3" fillId="0" borderId="0" xfId="0" applyFont="1"/>
    <xf numFmtId="0" fontId="2" fillId="0" borderId="0" xfId="0" applyFont="1"/>
    <xf numFmtId="3" fontId="2" fillId="0" borderId="0" xfId="0" applyNumberFormat="1" applyFont="1"/>
    <xf numFmtId="43" fontId="0" fillId="0" borderId="0" xfId="1" applyFont="1"/>
    <xf numFmtId="165" fontId="1" fillId="0" borderId="0" xfId="2" applyNumberFormat="1" applyFont="1"/>
    <xf numFmtId="10" fontId="0" fillId="0" borderId="0" xfId="2" applyNumberFormat="1" applyFont="1"/>
    <xf numFmtId="4" fontId="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L4" sqref="L4"/>
    </sheetView>
  </sheetViews>
  <sheetFormatPr baseColWidth="10" defaultRowHeight="16" x14ac:dyDescent="0.2"/>
  <cols>
    <col min="1" max="1" width="30.83203125" customWidth="1"/>
    <col min="2" max="11" width="16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2" x14ac:dyDescent="0.2">
      <c r="A3" t="s">
        <v>11</v>
      </c>
      <c r="C3" s="11">
        <f>C4/B4-1</f>
        <v>8.8607594936709333E-3</v>
      </c>
      <c r="D3" s="11">
        <f t="shared" ref="D3:I3" si="0">D4/C4-1</f>
        <v>2.4929336660829193E-2</v>
      </c>
      <c r="E3" s="11">
        <f t="shared" si="0"/>
        <v>2.4945798168242606E-2</v>
      </c>
      <c r="F3" s="11">
        <f t="shared" si="0"/>
        <v>2.4588947706127406E-2</v>
      </c>
      <c r="G3" s="11">
        <f t="shared" si="0"/>
        <v>2.5000000000000133E-2</v>
      </c>
      <c r="H3" s="11">
        <f t="shared" si="0"/>
        <v>2.4999999999999467E-2</v>
      </c>
      <c r="I3" s="11">
        <f t="shared" si="0"/>
        <v>2.5000000000000355E-2</v>
      </c>
      <c r="J3" s="11">
        <f>J4/I4-1</f>
        <v>2.5000000000000133E-2</v>
      </c>
      <c r="K3" s="11">
        <f t="shared" ref="K3" si="1">K4/J4-1</f>
        <v>2.4999999999999467E-2</v>
      </c>
      <c r="L3" t="s">
        <v>42</v>
      </c>
    </row>
    <row r="4" spans="1:12" x14ac:dyDescent="0.2">
      <c r="A4" t="s">
        <v>12</v>
      </c>
      <c r="B4" s="1">
        <v>330</v>
      </c>
      <c r="C4" s="12">
        <v>332.92405063291142</v>
      </c>
      <c r="D4" s="1">
        <v>341.22362637362625</v>
      </c>
      <c r="E4" s="1">
        <v>349.73572208737858</v>
      </c>
      <c r="F4" s="1">
        <v>358.33535546874987</v>
      </c>
      <c r="G4" s="1">
        <v>367.29373935546863</v>
      </c>
      <c r="H4" s="1">
        <v>376.47608283935517</v>
      </c>
      <c r="I4" s="1">
        <v>385.88798491033918</v>
      </c>
      <c r="J4" s="1">
        <v>395.53518453309772</v>
      </c>
      <c r="K4" s="1">
        <v>405.42356414642495</v>
      </c>
    </row>
    <row r="5" spans="1:12" x14ac:dyDescent="0.2">
      <c r="A5" t="s">
        <v>13</v>
      </c>
      <c r="B5" s="2">
        <v>20</v>
      </c>
      <c r="C5" s="2">
        <v>65.8</v>
      </c>
      <c r="D5" s="2">
        <v>75.8</v>
      </c>
      <c r="E5" s="2">
        <v>85.8</v>
      </c>
      <c r="F5" s="2">
        <v>90</v>
      </c>
      <c r="G5" s="2">
        <v>90</v>
      </c>
      <c r="H5" s="2">
        <v>90</v>
      </c>
      <c r="I5" s="2">
        <v>90</v>
      </c>
      <c r="J5" s="2">
        <v>90</v>
      </c>
      <c r="K5" s="2">
        <v>90</v>
      </c>
    </row>
    <row r="6" spans="1:12" x14ac:dyDescent="0.2">
      <c r="A6" t="s">
        <v>14</v>
      </c>
      <c r="B6" s="1">
        <f>B5/100*B4</f>
        <v>66</v>
      </c>
      <c r="C6" s="1">
        <f t="shared" ref="C6:K6" si="2">C5/100*C4</f>
        <v>219.06402531645568</v>
      </c>
      <c r="D6" s="1">
        <f t="shared" si="2"/>
        <v>258.64750879120868</v>
      </c>
      <c r="E6" s="1">
        <f t="shared" si="2"/>
        <v>300.07324955097079</v>
      </c>
      <c r="F6" s="1">
        <f t="shared" si="2"/>
        <v>322.50181992187487</v>
      </c>
      <c r="G6" s="1">
        <f t="shared" si="2"/>
        <v>330.56436541992178</v>
      </c>
      <c r="H6" s="1">
        <f t="shared" si="2"/>
        <v>338.82847455541969</v>
      </c>
      <c r="I6" s="1">
        <f t="shared" si="2"/>
        <v>347.29918641930527</v>
      </c>
      <c r="J6" s="1">
        <f t="shared" si="2"/>
        <v>355.98166607978794</v>
      </c>
      <c r="K6" s="1">
        <f t="shared" si="2"/>
        <v>364.88120773178247</v>
      </c>
    </row>
    <row r="7" spans="1:12" x14ac:dyDescent="0.2">
      <c r="A7" t="s">
        <v>15</v>
      </c>
      <c r="B7" s="3">
        <f>B6*20*30.5*12</f>
        <v>483120</v>
      </c>
      <c r="C7" s="3">
        <f t="shared" ref="C7:K7" si="3">C6*20*30.5*12</f>
        <v>1603548.6653164555</v>
      </c>
      <c r="D7" s="3">
        <f t="shared" si="3"/>
        <v>1893299.7643516473</v>
      </c>
      <c r="E7" s="3">
        <f t="shared" si="3"/>
        <v>2196536.186713106</v>
      </c>
      <c r="F7" s="3">
        <f t="shared" si="3"/>
        <v>2360713.3218281241</v>
      </c>
      <c r="G7" s="3">
        <f t="shared" si="3"/>
        <v>2419731.1548738275</v>
      </c>
      <c r="H7" s="3">
        <f t="shared" si="3"/>
        <v>2480224.433745672</v>
      </c>
      <c r="I7" s="3">
        <f t="shared" si="3"/>
        <v>2542230.0445893146</v>
      </c>
      <c r="J7" s="3">
        <f t="shared" si="3"/>
        <v>2605785.7957040472</v>
      </c>
      <c r="K7" s="3">
        <f t="shared" si="3"/>
        <v>2670930.4405966476</v>
      </c>
    </row>
    <row r="8" spans="1:12" x14ac:dyDescent="0.2">
      <c r="A8" t="s">
        <v>16</v>
      </c>
      <c r="B8" s="3">
        <f>B7*(0.22)*(1.28)</f>
        <v>136046.592</v>
      </c>
      <c r="C8" s="3">
        <f t="shared" ref="C8:K8" si="4">C7*(0.22)*(1.28)</f>
        <v>451559.30415311392</v>
      </c>
      <c r="D8" s="3">
        <f t="shared" si="4"/>
        <v>533153.21364142385</v>
      </c>
      <c r="E8" s="3">
        <f t="shared" si="4"/>
        <v>618544.59017841064</v>
      </c>
      <c r="F8" s="3">
        <f t="shared" si="4"/>
        <v>664776.8714267998</v>
      </c>
      <c r="G8" s="3">
        <f t="shared" si="4"/>
        <v>681396.29321246978</v>
      </c>
      <c r="H8" s="3">
        <f t="shared" si="4"/>
        <v>698431.20054278127</v>
      </c>
      <c r="I8" s="3">
        <f t="shared" si="4"/>
        <v>715891.98055635102</v>
      </c>
      <c r="J8" s="3">
        <f t="shared" si="4"/>
        <v>733789.2800702597</v>
      </c>
      <c r="K8" s="3">
        <f t="shared" si="4"/>
        <v>752134.01207201602</v>
      </c>
    </row>
    <row r="9" spans="1:12" x14ac:dyDescent="0.2">
      <c r="A9" t="s">
        <v>17</v>
      </c>
      <c r="B9" s="3">
        <f>B7*0.43</f>
        <v>207741.6</v>
      </c>
      <c r="C9" s="3">
        <f t="shared" ref="C9:K9" si="5">C7*0.43</f>
        <v>689525.92608607584</v>
      </c>
      <c r="D9" s="3">
        <f t="shared" si="5"/>
        <v>814118.8986712083</v>
      </c>
      <c r="E9" s="3">
        <f t="shared" si="5"/>
        <v>944510.56028663553</v>
      </c>
      <c r="F9" s="3">
        <f t="shared" si="5"/>
        <v>1015106.7283860934</v>
      </c>
      <c r="G9" s="3">
        <f t="shared" si="5"/>
        <v>1040484.3965957458</v>
      </c>
      <c r="H9" s="3">
        <f t="shared" si="5"/>
        <v>1066496.5065106389</v>
      </c>
      <c r="I9" s="3">
        <f t="shared" si="5"/>
        <v>1093158.9191734053</v>
      </c>
      <c r="J9" s="3">
        <f t="shared" si="5"/>
        <v>1120487.8921527404</v>
      </c>
      <c r="K9" s="3">
        <f t="shared" si="5"/>
        <v>1148500.0894565585</v>
      </c>
    </row>
    <row r="10" spans="1:12" x14ac:dyDescent="0.2">
      <c r="A10" t="s">
        <v>18</v>
      </c>
      <c r="B10" s="3">
        <f>B7*0.07</f>
        <v>33818.400000000001</v>
      </c>
      <c r="C10" s="3">
        <f t="shared" ref="C10:K10" si="6">C7*0.07</f>
        <v>112248.4065721519</v>
      </c>
      <c r="D10" s="3">
        <f t="shared" si="6"/>
        <v>132530.98350461532</v>
      </c>
      <c r="E10" s="3">
        <f t="shared" si="6"/>
        <v>153757.53306991744</v>
      </c>
      <c r="F10" s="3">
        <f t="shared" si="6"/>
        <v>165249.93252796872</v>
      </c>
      <c r="G10" s="3">
        <f t="shared" si="6"/>
        <v>169381.18084116795</v>
      </c>
      <c r="H10" s="3">
        <f t="shared" si="6"/>
        <v>173615.71036219705</v>
      </c>
      <c r="I10" s="3">
        <f t="shared" si="6"/>
        <v>177956.10312125203</v>
      </c>
      <c r="J10" s="3">
        <f t="shared" si="6"/>
        <v>182405.00569928333</v>
      </c>
      <c r="K10" s="3">
        <f t="shared" si="6"/>
        <v>186965.13084176535</v>
      </c>
    </row>
    <row r="11" spans="1:12" x14ac:dyDescent="0.2">
      <c r="A11" t="s">
        <v>19</v>
      </c>
      <c r="B11" s="3">
        <f>SUM(B7:B10)</f>
        <v>860726.59199999995</v>
      </c>
      <c r="C11" s="3">
        <f t="shared" ref="C11:K11" si="7">SUM(C7:C10)</f>
        <v>2856882.3021277972</v>
      </c>
      <c r="D11" s="3">
        <f t="shared" si="7"/>
        <v>3373102.8601688948</v>
      </c>
      <c r="E11" s="3">
        <f t="shared" si="7"/>
        <v>3913348.8702480695</v>
      </c>
      <c r="F11" s="3">
        <f t="shared" si="7"/>
        <v>4205846.854168986</v>
      </c>
      <c r="G11" s="3">
        <f t="shared" si="7"/>
        <v>4310993.0255232109</v>
      </c>
      <c r="H11" s="3">
        <f t="shared" si="7"/>
        <v>4418767.851161289</v>
      </c>
      <c r="I11" s="3">
        <f t="shared" si="7"/>
        <v>4529237.047440323</v>
      </c>
      <c r="J11" s="3">
        <f t="shared" si="7"/>
        <v>4642467.9736263305</v>
      </c>
      <c r="K11" s="3">
        <f t="shared" si="7"/>
        <v>4758529.6729669878</v>
      </c>
    </row>
    <row r="12" spans="1:12" x14ac:dyDescent="0.2">
      <c r="B12" s="6"/>
      <c r="C12" s="10">
        <f>C11/B11-1</f>
        <v>2.319151898734177</v>
      </c>
      <c r="D12" s="10">
        <f t="shared" ref="D12:K12" si="8">D11/C11-1</f>
        <v>0.18069367353937471</v>
      </c>
      <c r="E12" s="10">
        <f t="shared" si="8"/>
        <v>0.1601629219371401</v>
      </c>
      <c r="F12" s="10">
        <f t="shared" si="8"/>
        <v>7.4743651439994174E-2</v>
      </c>
      <c r="G12" s="10">
        <f t="shared" si="8"/>
        <v>2.5000000000000133E-2</v>
      </c>
      <c r="H12" s="10">
        <f t="shared" si="8"/>
        <v>2.4999999999999467E-2</v>
      </c>
      <c r="I12" s="10">
        <f t="shared" si="8"/>
        <v>2.5000000000000355E-2</v>
      </c>
      <c r="J12" s="10">
        <f t="shared" si="8"/>
        <v>2.4999999999999911E-2</v>
      </c>
      <c r="K12" s="10">
        <f t="shared" si="8"/>
        <v>2.4999999999999689E-2</v>
      </c>
    </row>
    <row r="13" spans="1:12" x14ac:dyDescent="0.2">
      <c r="A13" t="s">
        <v>20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">
      <c r="A14" t="s">
        <v>21</v>
      </c>
      <c r="B14" s="3">
        <f>0.36*B7</f>
        <v>173923.19999999998</v>
      </c>
      <c r="C14" s="3">
        <f t="shared" ref="C14:K14" si="9">0.36*C7</f>
        <v>577277.51951392402</v>
      </c>
      <c r="D14" s="3">
        <f t="shared" si="9"/>
        <v>681587.91516659304</v>
      </c>
      <c r="E14" s="3">
        <f t="shared" si="9"/>
        <v>790753.02721671818</v>
      </c>
      <c r="F14" s="3">
        <f t="shared" si="9"/>
        <v>849856.79585812462</v>
      </c>
      <c r="G14" s="3">
        <f t="shared" si="9"/>
        <v>871103.21575457789</v>
      </c>
      <c r="H14" s="3">
        <f t="shared" si="9"/>
        <v>892880.79614844185</v>
      </c>
      <c r="I14" s="3">
        <f t="shared" si="9"/>
        <v>915202.81605215324</v>
      </c>
      <c r="J14" s="3">
        <f t="shared" si="9"/>
        <v>938082.88645345694</v>
      </c>
      <c r="K14" s="3">
        <f t="shared" si="9"/>
        <v>961534.95861479314</v>
      </c>
    </row>
    <row r="15" spans="1:12" x14ac:dyDescent="0.2">
      <c r="A15" t="s">
        <v>16</v>
      </c>
      <c r="B15" s="3">
        <f>0.3*B8</f>
        <v>40813.977599999998</v>
      </c>
      <c r="C15" s="3">
        <f t="shared" ref="C15:K15" si="10">0.3*C8</f>
        <v>135467.79124593418</v>
      </c>
      <c r="D15" s="3">
        <f t="shared" si="10"/>
        <v>159945.96409242714</v>
      </c>
      <c r="E15" s="3">
        <f t="shared" si="10"/>
        <v>185563.37705352317</v>
      </c>
      <c r="F15" s="3">
        <f t="shared" si="10"/>
        <v>199433.06142803995</v>
      </c>
      <c r="G15" s="3">
        <f t="shared" si="10"/>
        <v>204418.88796374094</v>
      </c>
      <c r="H15" s="3">
        <f t="shared" si="10"/>
        <v>209529.36016283437</v>
      </c>
      <c r="I15" s="3">
        <f t="shared" si="10"/>
        <v>214767.5941669053</v>
      </c>
      <c r="J15" s="3">
        <f t="shared" si="10"/>
        <v>220136.78402107791</v>
      </c>
      <c r="K15" s="3">
        <f t="shared" si="10"/>
        <v>225640.2036216048</v>
      </c>
    </row>
    <row r="16" spans="1:12" x14ac:dyDescent="0.2">
      <c r="A16" s="6" t="s">
        <v>17</v>
      </c>
      <c r="B16" s="5">
        <f>0.65*B9</f>
        <v>135032.04</v>
      </c>
      <c r="C16" s="5">
        <f t="shared" ref="C16:K16" si="11">0.65*C9</f>
        <v>448191.85195594933</v>
      </c>
      <c r="D16" s="5">
        <f t="shared" si="11"/>
        <v>529177.28413628542</v>
      </c>
      <c r="E16" s="5">
        <f t="shared" si="11"/>
        <v>613931.86418631312</v>
      </c>
      <c r="F16" s="5">
        <f t="shared" si="11"/>
        <v>659819.37345096073</v>
      </c>
      <c r="G16" s="5">
        <f t="shared" si="11"/>
        <v>676314.85778723483</v>
      </c>
      <c r="H16" s="5">
        <f t="shared" si="11"/>
        <v>693222.72923191532</v>
      </c>
      <c r="I16" s="5">
        <f t="shared" si="11"/>
        <v>710553.29746271344</v>
      </c>
      <c r="J16" s="5">
        <f t="shared" si="11"/>
        <v>728317.12989928131</v>
      </c>
      <c r="K16" s="5">
        <f t="shared" si="11"/>
        <v>746525.05814676301</v>
      </c>
    </row>
    <row r="17" spans="1:11" x14ac:dyDescent="0.2">
      <c r="A17" s="6" t="s">
        <v>22</v>
      </c>
      <c r="B17" s="5">
        <f>0.6*B10</f>
        <v>20291.04</v>
      </c>
      <c r="C17" s="5">
        <f t="shared" ref="C17:K17" si="12">0.6*C10</f>
        <v>67349.043943291137</v>
      </c>
      <c r="D17" s="5">
        <f t="shared" si="12"/>
        <v>79518.590102769187</v>
      </c>
      <c r="E17" s="5">
        <f t="shared" si="12"/>
        <v>92254.51984195046</v>
      </c>
      <c r="F17" s="5">
        <f t="shared" si="12"/>
        <v>99149.959516781222</v>
      </c>
      <c r="G17" s="5">
        <f t="shared" si="12"/>
        <v>101628.70850470077</v>
      </c>
      <c r="H17" s="5">
        <f t="shared" si="12"/>
        <v>104169.42621731822</v>
      </c>
      <c r="I17" s="5">
        <f t="shared" si="12"/>
        <v>106773.66187275121</v>
      </c>
      <c r="J17" s="5">
        <f t="shared" si="12"/>
        <v>109443.00341957</v>
      </c>
      <c r="K17" s="5">
        <f t="shared" si="12"/>
        <v>112179.07850505921</v>
      </c>
    </row>
    <row r="18" spans="1:11" x14ac:dyDescent="0.2">
      <c r="A18" t="s">
        <v>23</v>
      </c>
      <c r="B18" s="3">
        <f>0.05*B11</f>
        <v>43036.329599999997</v>
      </c>
      <c r="C18" s="3">
        <f t="shared" ref="C18:K18" si="13">0.05*C11</f>
        <v>142844.11510638986</v>
      </c>
      <c r="D18" s="3">
        <f t="shared" si="13"/>
        <v>168655.14300844475</v>
      </c>
      <c r="E18" s="3">
        <f t="shared" si="13"/>
        <v>195667.44351240349</v>
      </c>
      <c r="F18" s="3">
        <f t="shared" si="13"/>
        <v>210292.34270844932</v>
      </c>
      <c r="G18" s="3">
        <f t="shared" si="13"/>
        <v>215549.65127616056</v>
      </c>
      <c r="H18" s="3">
        <f t="shared" si="13"/>
        <v>220938.39255806446</v>
      </c>
      <c r="I18" s="3">
        <f t="shared" si="13"/>
        <v>226461.85237201618</v>
      </c>
      <c r="J18" s="3">
        <f t="shared" si="13"/>
        <v>232123.39868131652</v>
      </c>
      <c r="K18" s="3">
        <f t="shared" si="13"/>
        <v>237926.48364834941</v>
      </c>
    </row>
    <row r="19" spans="1:11" x14ac:dyDescent="0.2">
      <c r="A19" s="7" t="s">
        <v>24</v>
      </c>
      <c r="B19" s="8">
        <v>103287.19104000005</v>
      </c>
      <c r="C19" s="8">
        <v>104320.06295040004</v>
      </c>
      <c r="D19" s="8">
        <v>107449.66483891202</v>
      </c>
      <c r="E19" s="8">
        <v>110673.15478407936</v>
      </c>
      <c r="F19" s="8">
        <v>113993.34942760177</v>
      </c>
      <c r="G19" s="8">
        <v>117413.14991042984</v>
      </c>
      <c r="H19" s="8">
        <v>120935.54440774272</v>
      </c>
      <c r="I19" s="8">
        <v>124563.61073997502</v>
      </c>
      <c r="J19" s="8">
        <v>128300.51906217424</v>
      </c>
      <c r="K19" s="8">
        <v>132149.5346340395</v>
      </c>
    </row>
    <row r="20" spans="1:11" x14ac:dyDescent="0.2">
      <c r="A20" s="7" t="s">
        <v>25</v>
      </c>
      <c r="B20" s="8">
        <v>77465.393280000018</v>
      </c>
      <c r="C20" s="8">
        <v>137909.91820320001</v>
      </c>
      <c r="D20" s="8">
        <v>154962.41826225602</v>
      </c>
      <c r="E20" s="8">
        <v>172782.65362617467</v>
      </c>
      <c r="F20" s="8">
        <v>183172.08033887047</v>
      </c>
      <c r="G20" s="8">
        <v>188036.36572091124</v>
      </c>
      <c r="H20" s="8">
        <v>193030.80773871008</v>
      </c>
      <c r="I20" s="8">
        <v>198158.91679319716</v>
      </c>
      <c r="J20" s="8">
        <v>203424.29873987701</v>
      </c>
      <c r="K20" s="8">
        <v>208830.65750602938</v>
      </c>
    </row>
    <row r="21" spans="1:11" x14ac:dyDescent="0.2">
      <c r="A21" s="7" t="s">
        <v>26</v>
      </c>
      <c r="B21" s="8">
        <v>206574.3820800001</v>
      </c>
      <c r="C21" s="8">
        <v>208640.12590080008</v>
      </c>
      <c r="D21" s="8">
        <v>214899.32967782405</v>
      </c>
      <c r="E21" s="8">
        <v>221346.30956815873</v>
      </c>
      <c r="F21" s="8">
        <v>227986.69885520355</v>
      </c>
      <c r="G21" s="8">
        <v>234826.29982085968</v>
      </c>
      <c r="H21" s="8">
        <v>241871.08881548545</v>
      </c>
      <c r="I21" s="8">
        <v>249127.22147995004</v>
      </c>
      <c r="J21" s="8">
        <v>256601.03812434847</v>
      </c>
      <c r="K21" s="8">
        <v>264299.06926807901</v>
      </c>
    </row>
    <row r="22" spans="1:11" x14ac:dyDescent="0.2">
      <c r="A22" s="7" t="s">
        <v>27</v>
      </c>
      <c r="B22" s="8">
        <v>51643.595520000024</v>
      </c>
      <c r="C22" s="8">
        <v>52160.031475200019</v>
      </c>
      <c r="D22" s="8">
        <v>53724.832419456012</v>
      </c>
      <c r="E22" s="8">
        <v>55336.577392039682</v>
      </c>
      <c r="F22" s="8">
        <v>56996.674713800887</v>
      </c>
      <c r="G22" s="8">
        <v>58706.574955214921</v>
      </c>
      <c r="H22" s="8">
        <v>60467.772203871362</v>
      </c>
      <c r="I22" s="8">
        <v>62281.805369987509</v>
      </c>
      <c r="J22" s="8">
        <v>64150.259531087118</v>
      </c>
      <c r="K22" s="8">
        <v>66074.767317019752</v>
      </c>
    </row>
    <row r="23" spans="1:11" x14ac:dyDescent="0.2">
      <c r="A23" s="7" t="s">
        <v>28</v>
      </c>
      <c r="B23" s="8">
        <v>51643.595520000024</v>
      </c>
      <c r="C23" s="8">
        <v>52160.031475200019</v>
      </c>
      <c r="D23" s="8">
        <v>53724.832419456012</v>
      </c>
      <c r="E23" s="8">
        <v>55336.577392039682</v>
      </c>
      <c r="F23" s="8">
        <v>56996.674713800887</v>
      </c>
      <c r="G23" s="8">
        <v>58706.574955214921</v>
      </c>
      <c r="H23" s="8">
        <v>60467.772203871362</v>
      </c>
      <c r="I23" s="8">
        <v>62281.805369987509</v>
      </c>
      <c r="J23" s="8">
        <v>64150.259531087118</v>
      </c>
      <c r="K23" s="8">
        <v>66074.767317019752</v>
      </c>
    </row>
    <row r="24" spans="1:11" x14ac:dyDescent="0.2">
      <c r="A24" s="7" t="s">
        <v>29</v>
      </c>
      <c r="B24" s="8">
        <v>77465.393279999989</v>
      </c>
      <c r="C24" s="8">
        <v>78240.047212799996</v>
      </c>
      <c r="D24" s="8">
        <v>80587.248629184018</v>
      </c>
      <c r="E24" s="8">
        <v>83004.866088059542</v>
      </c>
      <c r="F24" s="8">
        <v>85495.012070701327</v>
      </c>
      <c r="G24" s="8">
        <v>88059.862432822367</v>
      </c>
      <c r="H24" s="8">
        <v>90701.658305807025</v>
      </c>
      <c r="I24" s="8">
        <v>93422.708054981209</v>
      </c>
      <c r="J24" s="8">
        <v>96225.389296630688</v>
      </c>
      <c r="K24" s="8">
        <v>99112.150975529585</v>
      </c>
    </row>
    <row r="25" spans="1:11" x14ac:dyDescent="0.2">
      <c r="A25" s="7" t="s">
        <v>30</v>
      </c>
      <c r="B25" s="8">
        <v>129108.98880000001</v>
      </c>
      <c r="C25" s="8">
        <v>130400.07868799999</v>
      </c>
      <c r="D25" s="8">
        <v>134312.08104863999</v>
      </c>
      <c r="E25" s="8">
        <v>138341.4434800992</v>
      </c>
      <c r="F25" s="8">
        <v>142491.68678450221</v>
      </c>
      <c r="G25" s="8">
        <v>146766.43738803727</v>
      </c>
      <c r="H25" s="8">
        <v>151169.43050967841</v>
      </c>
      <c r="I25" s="8">
        <v>155704.51342496875</v>
      </c>
      <c r="J25" s="8">
        <v>160375.64882771779</v>
      </c>
      <c r="K25" s="8">
        <v>165186.91829254935</v>
      </c>
    </row>
    <row r="27" spans="1:11" x14ac:dyDescent="0.2">
      <c r="A27" t="s">
        <v>31</v>
      </c>
      <c r="B27" s="3">
        <f>B11-(SUM(B14:B25))</f>
        <v>-249558.53472000011</v>
      </c>
      <c r="C27" s="3">
        <f t="shared" ref="C27:K27" si="14">C11-(SUM(C14:C25))</f>
        <v>721921.68445670838</v>
      </c>
      <c r="D27" s="3">
        <f t="shared" si="14"/>
        <v>954557.55636664713</v>
      </c>
      <c r="E27" s="3">
        <f t="shared" si="14"/>
        <v>1198357.0561065101</v>
      </c>
      <c r="F27" s="3">
        <f t="shared" si="14"/>
        <v>1320163.1443021493</v>
      </c>
      <c r="G27" s="3">
        <f t="shared" si="14"/>
        <v>1349462.4390533054</v>
      </c>
      <c r="H27" s="3">
        <f t="shared" si="14"/>
        <v>1379383.0726575479</v>
      </c>
      <c r="I27" s="3">
        <f t="shared" si="14"/>
        <v>1409937.244280736</v>
      </c>
      <c r="J27" s="3">
        <f t="shared" si="14"/>
        <v>1441137.3580387053</v>
      </c>
      <c r="K27" s="3">
        <f t="shared" si="14"/>
        <v>1472996.0251201517</v>
      </c>
    </row>
    <row r="28" spans="1:11" x14ac:dyDescent="0.2">
      <c r="B28" s="4">
        <f>B27/B11</f>
        <v>-0.28993938033228572</v>
      </c>
      <c r="C28" s="4">
        <f t="shared" ref="C28:K28" si="15">C27/C11</f>
        <v>0.25269563394999622</v>
      </c>
      <c r="D28" s="4">
        <f t="shared" si="15"/>
        <v>0.28299094214958254</v>
      </c>
      <c r="E28" s="4">
        <f t="shared" si="15"/>
        <v>0.30622290417734865</v>
      </c>
      <c r="F28" s="4">
        <f t="shared" si="15"/>
        <v>0.31388759269576266</v>
      </c>
      <c r="G28" s="4">
        <f t="shared" si="15"/>
        <v>0.31302821207638715</v>
      </c>
      <c r="H28" s="4">
        <f t="shared" si="15"/>
        <v>0.3121646393564293</v>
      </c>
      <c r="I28" s="4">
        <f t="shared" si="15"/>
        <v>0.31129685408661828</v>
      </c>
      <c r="J28" s="4">
        <f t="shared" si="15"/>
        <v>0.31042483571793006</v>
      </c>
      <c r="K28" s="4">
        <f t="shared" si="15"/>
        <v>0.30954856360110178</v>
      </c>
    </row>
    <row r="29" spans="1:11" x14ac:dyDescent="0.2">
      <c r="A29" t="s">
        <v>32</v>
      </c>
    </row>
    <row r="30" spans="1:11" x14ac:dyDescent="0.2">
      <c r="A30" t="s">
        <v>33</v>
      </c>
      <c r="B30" s="3">
        <v>43036.329600000005</v>
      </c>
      <c r="C30" s="3">
        <v>142916.47788000002</v>
      </c>
      <c r="D30" s="3">
        <v>168729.30973799998</v>
      </c>
      <c r="E30" s="3">
        <v>195743.46039022499</v>
      </c>
      <c r="F30" s="3">
        <v>210292.34270844932</v>
      </c>
      <c r="G30" s="3">
        <v>215549.65127616058</v>
      </c>
      <c r="H30" s="3">
        <v>220938.39255806454</v>
      </c>
      <c r="I30" s="3">
        <v>226461.85237201606</v>
      </c>
      <c r="J30" s="3">
        <v>232123.3986813165</v>
      </c>
      <c r="K30" s="3">
        <v>237926.48364834936</v>
      </c>
    </row>
    <row r="31" spans="1:11" x14ac:dyDescent="0.2">
      <c r="A31" t="s">
        <v>34</v>
      </c>
      <c r="B31" s="8">
        <v>29702.893968000022</v>
      </c>
      <c r="C31" s="3">
        <v>108401.15175516004</v>
      </c>
      <c r="D31" s="3">
        <v>143299.3470409908</v>
      </c>
      <c r="E31" s="3">
        <v>179872.15856973169</v>
      </c>
      <c r="F31" s="3">
        <v>198024.4716453224</v>
      </c>
      <c r="G31" s="3">
        <v>202419.36585799596</v>
      </c>
      <c r="H31" s="3">
        <v>206907.46089863239</v>
      </c>
      <c r="I31" s="3">
        <v>211490.58664211031</v>
      </c>
      <c r="J31" s="3">
        <v>216170.60370580584</v>
      </c>
      <c r="K31" s="3">
        <v>220949.40376802278</v>
      </c>
    </row>
    <row r="32" spans="1:11" x14ac:dyDescent="0.2">
      <c r="A32" t="s">
        <v>35</v>
      </c>
      <c r="B32" s="3">
        <v>34429.063680000007</v>
      </c>
      <c r="C32" s="3">
        <v>114333.18230400002</v>
      </c>
      <c r="D32" s="3">
        <v>134983.44779039998</v>
      </c>
      <c r="E32" s="3">
        <v>156594.76831218001</v>
      </c>
      <c r="F32" s="3">
        <v>168233.87416675949</v>
      </c>
      <c r="G32" s="3">
        <v>172439.72102092847</v>
      </c>
      <c r="H32" s="3">
        <v>176750.71404645161</v>
      </c>
      <c r="I32" s="3">
        <v>181169.48189761292</v>
      </c>
      <c r="J32" s="3">
        <v>185698.71894505326</v>
      </c>
      <c r="K32" s="3">
        <v>190341.18691867951</v>
      </c>
    </row>
    <row r="34" spans="1:11" x14ac:dyDescent="0.2">
      <c r="A34" t="s">
        <v>36</v>
      </c>
      <c r="B34" s="3">
        <f>B27-(SUM(B30:B32))</f>
        <v>-356726.82196800015</v>
      </c>
      <c r="C34" s="3">
        <v>357023.53309524019</v>
      </c>
      <c r="D34" s="3">
        <v>508316.87570388115</v>
      </c>
      <c r="E34" s="3">
        <v>666937.33652607456</v>
      </c>
      <c r="F34" s="3">
        <v>743612.45578161848</v>
      </c>
      <c r="G34" s="3">
        <v>759053.70089822158</v>
      </c>
      <c r="H34" s="3">
        <v>774786.50515440106</v>
      </c>
      <c r="I34" s="3">
        <v>790815.32336899638</v>
      </c>
      <c r="J34" s="3">
        <v>807144.63670653012</v>
      </c>
      <c r="K34" s="3">
        <v>823778.95078509999</v>
      </c>
    </row>
    <row r="36" spans="1:11" x14ac:dyDescent="0.2">
      <c r="A36" t="s">
        <v>37</v>
      </c>
      <c r="C36">
        <f>C39/C34</f>
        <v>0.18570579156074277</v>
      </c>
      <c r="D36">
        <f t="shared" ref="D36:K36" si="16">D39/D34</f>
        <v>0.20484205512012635</v>
      </c>
      <c r="E36">
        <f t="shared" si="16"/>
        <v>0.14949466871401523</v>
      </c>
      <c r="F36">
        <f t="shared" si="16"/>
        <v>4.2637694869611498E-2</v>
      </c>
      <c r="G36">
        <f t="shared" si="16"/>
        <v>4.8945940486220696E-2</v>
      </c>
      <c r="H36">
        <f t="shared" si="16"/>
        <v>5.5268100372400437E-2</v>
      </c>
      <c r="I36">
        <f t="shared" si="16"/>
        <v>6.1615049617555165E-2</v>
      </c>
      <c r="J36">
        <f t="shared" si="16"/>
        <v>6.7998272832533929E-2</v>
      </c>
      <c r="K36">
        <f t="shared" si="16"/>
        <v>7.4429857285494713E-2</v>
      </c>
    </row>
    <row r="37" spans="1:11" x14ac:dyDescent="0.2">
      <c r="A37" s="6" t="s">
        <v>38</v>
      </c>
      <c r="B37" s="5">
        <v>0</v>
      </c>
      <c r="C37" s="5">
        <v>0</v>
      </c>
      <c r="D37" s="5">
        <v>0</v>
      </c>
      <c r="E37" s="5">
        <v>176304.85</v>
      </c>
      <c r="F37" s="5">
        <v>524970.59</v>
      </c>
      <c r="G37" s="5">
        <v>518625.12999999995</v>
      </c>
      <c r="H37" s="5">
        <v>511684.41</v>
      </c>
      <c r="I37" s="5">
        <v>504092.64</v>
      </c>
      <c r="J37" s="5">
        <v>495788.69</v>
      </c>
      <c r="K37" s="5">
        <v>486705.76999999996</v>
      </c>
    </row>
    <row r="38" spans="1:11" x14ac:dyDescent="0.2">
      <c r="A38" s="6" t="s">
        <v>39</v>
      </c>
      <c r="B38" s="5">
        <v>76515.15151515152</v>
      </c>
      <c r="C38" s="5">
        <v>91818.181818181823</v>
      </c>
      <c r="D38" s="5">
        <v>91818.181818181823</v>
      </c>
      <c r="E38" s="5">
        <v>91818.181818181823</v>
      </c>
      <c r="F38" s="5">
        <v>91818.181818181823</v>
      </c>
      <c r="G38" s="5">
        <v>91818.181818181823</v>
      </c>
      <c r="H38" s="5">
        <v>91818.181818181823</v>
      </c>
      <c r="I38" s="5">
        <v>91818.181818181823</v>
      </c>
      <c r="J38" s="5">
        <v>91818.181818181823</v>
      </c>
      <c r="K38" s="5">
        <v>91818.181818181823</v>
      </c>
    </row>
    <row r="39" spans="1:11" x14ac:dyDescent="0.2">
      <c r="A39" s="6" t="s">
        <v>40</v>
      </c>
      <c r="B39" s="5">
        <v>15061.236316484883</v>
      </c>
      <c r="C39" s="5">
        <v>66301.33781926462</v>
      </c>
      <c r="D39" s="5">
        <v>104124.67347142483</v>
      </c>
      <c r="E39" s="5">
        <v>99703.576176973205</v>
      </c>
      <c r="F39" s="5">
        <v>31705.920990859122</v>
      </c>
      <c r="G39" s="5">
        <v>37152.597270009916</v>
      </c>
      <c r="H39" s="5">
        <v>42820.978334054787</v>
      </c>
      <c r="I39" s="5">
        <v>48726.125387703643</v>
      </c>
      <c r="J39" s="5">
        <v>54884.441222087116</v>
      </c>
      <c r="K39" s="5">
        <v>61313.749741729567</v>
      </c>
    </row>
    <row r="41" spans="1:11" x14ac:dyDescent="0.2">
      <c r="A41" t="s">
        <v>41</v>
      </c>
      <c r="B41" s="3">
        <f>B34-(SUM(B37:B39))</f>
        <v>-448303.20979963656</v>
      </c>
      <c r="C41" s="3">
        <f t="shared" ref="C41:K41" si="17">C34-(SUM(C37:C39))</f>
        <v>198904.01345779374</v>
      </c>
      <c r="D41" s="3">
        <f t="shared" si="17"/>
        <v>312374.02041427448</v>
      </c>
      <c r="E41" s="3">
        <f t="shared" si="17"/>
        <v>299110.72853091953</v>
      </c>
      <c r="F41" s="3">
        <f t="shared" si="17"/>
        <v>95117.762972577591</v>
      </c>
      <c r="G41" s="3">
        <f t="shared" si="17"/>
        <v>111457.79181002988</v>
      </c>
      <c r="H41" s="3">
        <f t="shared" si="17"/>
        <v>128462.93500216445</v>
      </c>
      <c r="I41" s="3">
        <f t="shared" si="17"/>
        <v>146178.37616311095</v>
      </c>
      <c r="J41" s="3">
        <f t="shared" si="17"/>
        <v>164653.32366626116</v>
      </c>
      <c r="K41" s="3">
        <f t="shared" si="17"/>
        <v>183941.24922518863</v>
      </c>
    </row>
  </sheetData>
  <pageMargins left="0.7" right="0.7" top="0.75" bottom="0.75" header="0.3" footer="0.3"/>
  <pageSetup orientation="portrait" horizontalDpi="0" verticalDpi="0"/>
  <ignoredErrors>
    <ignoredError sqref="A1:K2 A10 A7 A8 A9 A13 A11 A12:B12 A6 A19:K26 A14 A15 A16 A17 A18 A30:K32 A27 A28 A35:K35 A34 C34:K34 A29 A33 A38:K40 A37 C37:D37 F37:K37 A36:B36 A41 A4:K5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Sanmit Amin</cp:lastModifiedBy>
  <dcterms:modified xsi:type="dcterms:W3CDTF">2026-02-10T07:19:45Z</dcterms:modified>
</cp:coreProperties>
</file>